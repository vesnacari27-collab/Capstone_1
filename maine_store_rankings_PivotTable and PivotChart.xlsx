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snacari\Documents\DATA_Labs\Capstone_1\"/>
    </mc:Choice>
  </mc:AlternateContent>
  <xr:revisionPtr revIDLastSave="0" documentId="8_{F51DD934-F5F8-4469-8BB2-75BBFA04E237}" xr6:coauthVersionLast="47" xr6:coauthVersionMax="47" xr10:uidLastSave="{00000000-0000-0000-0000-000000000000}"/>
  <bookViews>
    <workbookView xWindow="732" yWindow="732" windowWidth="18168" windowHeight="12204" tabRatio="500" activeTab="1" xr2:uid="{00000000-000D-0000-FFFF-FFFF00000000}"/>
  </bookViews>
  <sheets>
    <sheet name="Sheet1" sheetId="1" r:id="rId1"/>
    <sheet name="PivotTable &amp;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2" l="1"/>
  <c r="D6" i="2" s="1"/>
  <c r="D10" i="2" l="1"/>
  <c r="D9" i="2"/>
  <c r="D8" i="2"/>
  <c r="D7" i="2"/>
  <c r="D5" i="2"/>
</calcChain>
</file>

<file path=xl/sharedStrings.xml><?xml version="1.0" encoding="utf-8"?>
<sst xmlns="http://schemas.openxmlformats.org/spreadsheetml/2006/main" count="19" uniqueCount="14">
  <si>
    <t>StoreLocation</t>
  </si>
  <si>
    <t>Total_Revenue</t>
  </si>
  <si>
    <t>South Portland</t>
  </si>
  <si>
    <t xml:space="preserve">Orono </t>
  </si>
  <si>
    <t>Kennebunkport</t>
  </si>
  <si>
    <t>Lewiston</t>
  </si>
  <si>
    <t>Bangor</t>
  </si>
  <si>
    <t>Bar Harbor</t>
  </si>
  <si>
    <t>Maine Store Revenue Summary</t>
  </si>
  <si>
    <t>Store Location</t>
  </si>
  <si>
    <t>Total Revenue</t>
  </si>
  <si>
    <t>% of Total</t>
  </si>
  <si>
    <t>Orono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</si>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</sst>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7" x14ac:knownFonts="1">
    <font>
      <sz val="11"/>
      <color theme="1"/>
      <name val="Aptos Narrow"/>
      <family val="2"/>
      <charset val="1"/>
    </font>
    <font>
      <b/>
      <sz val="12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  <font>
      <b/>
      <sz val="13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59987182226020086"/>
        <bgColor rgb="FF99CCFF"/>
      </patternFill>
    </fill>
    <fill>
      <patternFill patternType="solid">
        <fgColor theme="4" tint="0.79989013336588644"/>
        <bgColor rgb="FFD6E4F0"/>
      </patternFill>
    </fill>
    <fill>
      <patternFill patternType="solid">
        <fgColor rgb="FF1F4E79"/>
        <bgColor rgb="FF08597D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1" fillId="2" borderId="0" xfId="0" applyFont="1" applyFill="1"/>
    <xf numFmtId="0" fontId="2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indent="1"/>
    </xf>
    <xf numFmtId="164" fontId="5" fillId="5" borderId="1" xfId="0" applyNumberFormat="1" applyFont="1" applyFill="1" applyBorder="1" applyAlignment="1">
      <alignment horizontal="right"/>
    </xf>
    <xf numFmtId="165" fontId="5" fillId="5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left" indent="1"/>
    </xf>
    <xf numFmtId="164" fontId="5" fillId="6" borderId="1" xfId="0" applyNumberFormat="1" applyFont="1" applyFill="1" applyBorder="1" applyAlignment="1">
      <alignment horizontal="right"/>
    </xf>
    <xf numFmtId="165" fontId="5" fillId="6" borderId="1" xfId="0" applyNumberFormat="1" applyFont="1" applyFill="1" applyBorder="1" applyAlignment="1">
      <alignment horizontal="right"/>
    </xf>
    <xf numFmtId="0" fontId="6" fillId="7" borderId="1" xfId="0" applyFont="1" applyFill="1" applyBorder="1" applyAlignment="1">
      <alignment horizontal="left" indent="1"/>
    </xf>
    <xf numFmtId="164" fontId="6" fillId="7" borderId="1" xfId="0" applyNumberFormat="1" applyFont="1" applyFill="1" applyBorder="1" applyAlignment="1">
      <alignment horizontal="right"/>
    </xf>
    <xf numFmtId="165" fontId="6" fillId="7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83CBEB"/>
      <rgbColor rgb="FF993366"/>
      <rgbColor rgb="FFFFFFCC"/>
      <rgbColor rgb="FFEBF3FB"/>
      <rgbColor rgb="FF660066"/>
      <rgbColor rgb="FFFF8080"/>
      <rgbColor rgb="FF08597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D6E4F0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4D7491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Maine Store Revenue Ranking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'PivotTable &amp; Chart'!$C$4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'PivotTable &amp; Chart'!$B$5:$B$10</c:f>
              <c:strCache>
                <c:ptCount val="6"/>
                <c:pt idx="0">
                  <c:v>South Portland</c:v>
                </c:pt>
                <c:pt idx="1">
                  <c:v>Orono</c:v>
                </c:pt>
                <c:pt idx="2">
                  <c:v>Kennebunkport</c:v>
                </c:pt>
                <c:pt idx="3">
                  <c:v>Lewiston</c:v>
                </c:pt>
                <c:pt idx="4">
                  <c:v>Bangor</c:v>
                </c:pt>
                <c:pt idx="5">
                  <c:v>Bar Harbor</c:v>
                </c:pt>
              </c:strCache>
            </c:strRef>
          </c:cat>
          <c:val>
            <c:numRef>
              <c:f>'PivotTable &amp; Chart'!$C$5:$C$10</c:f>
              <c:numCache>
                <c:formatCode>\$#,##0.00</c:formatCode>
                <c:ptCount val="6"/>
                <c:pt idx="0">
                  <c:v>332611.76</c:v>
                </c:pt>
                <c:pt idx="1">
                  <c:v>330505.46999999997</c:v>
                </c:pt>
                <c:pt idx="2">
                  <c:v>321998.55</c:v>
                </c:pt>
                <c:pt idx="3">
                  <c:v>303761.90999999997</c:v>
                </c:pt>
                <c:pt idx="4">
                  <c:v>300919.98</c:v>
                </c:pt>
                <c:pt idx="5">
                  <c:v>287452.08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7-4547-96FA-520617665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21628"/>
        <c:axId val="85710457"/>
      </c:barChart>
      <c:catAx>
        <c:axId val="5521628"/>
        <c:scaling>
          <c:orientation val="maxMin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Total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5710457"/>
        <c:crosses val="autoZero"/>
        <c:auto val="1"/>
        <c:lblAlgn val="ctr"/>
        <c:lblOffset val="100"/>
        <c:noMultiLvlLbl val="0"/>
      </c:catAx>
      <c:valAx>
        <c:axId val="85710457"/>
        <c:scaling>
          <c:orientation val="minMax"/>
        </c:scaling>
        <c:delete val="0"/>
        <c:axPos val="t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Store Location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55216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13</xdr:col>
      <xdr:colOff>409320</xdr:colOff>
      <xdr:row>23</xdr:row>
      <xdr:rowOff>56880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Normal="100" workbookViewId="0">
      <selection activeCell="A15" sqref="A15"/>
    </sheetView>
  </sheetViews>
  <sheetFormatPr defaultColWidth="8.5546875" defaultRowHeight="14.4" x14ac:dyDescent="0.3"/>
  <cols>
    <col min="1" max="1" width="17.21875" customWidth="1"/>
    <col min="2" max="2" width="14.21875" customWidth="1"/>
  </cols>
  <sheetData>
    <row r="1" spans="1:2" ht="15" customHeight="1" x14ac:dyDescent="0.3">
      <c r="A1" s="2" t="s">
        <v>0</v>
      </c>
      <c r="B1" s="2" t="s">
        <v>1</v>
      </c>
    </row>
    <row r="2" spans="1:2" ht="15" customHeight="1" x14ac:dyDescent="0.3">
      <c r="A2" s="3" t="s">
        <v>2</v>
      </c>
      <c r="B2" s="3">
        <v>332611.76</v>
      </c>
    </row>
    <row r="3" spans="1:2" ht="15" customHeight="1" x14ac:dyDescent="0.3">
      <c r="A3" s="3" t="s">
        <v>3</v>
      </c>
      <c r="B3" s="3">
        <v>330505.46999999997</v>
      </c>
    </row>
    <row r="4" spans="1:2" ht="15" customHeight="1" x14ac:dyDescent="0.3">
      <c r="A4" s="3" t="s">
        <v>4</v>
      </c>
      <c r="B4" s="3">
        <v>321998.55</v>
      </c>
    </row>
    <row r="5" spans="1:2" ht="15" customHeight="1" x14ac:dyDescent="0.3">
      <c r="A5" s="3" t="s">
        <v>5</v>
      </c>
      <c r="B5" s="3">
        <v>303761.90999999997</v>
      </c>
    </row>
    <row r="6" spans="1:2" ht="15" customHeight="1" x14ac:dyDescent="0.3">
      <c r="A6" s="3" t="s">
        <v>6</v>
      </c>
      <c r="B6" s="3">
        <v>300919.98</v>
      </c>
    </row>
    <row r="7" spans="1:2" ht="15" customHeight="1" x14ac:dyDescent="0.3">
      <c r="A7" s="3" t="s">
        <v>7</v>
      </c>
      <c r="B7" s="3">
        <v>287452.08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1"/>
  <sheetViews>
    <sheetView tabSelected="1" zoomScaleNormal="100" workbookViewId="0">
      <selection activeCell="B22" sqref="B22"/>
    </sheetView>
  </sheetViews>
  <sheetFormatPr defaultColWidth="8.5546875" defaultRowHeight="14.4" x14ac:dyDescent="0.3"/>
  <cols>
    <col min="1" max="1" width="3" customWidth="1"/>
    <col min="2" max="2" width="22" customWidth="1"/>
    <col min="3" max="3" width="18" customWidth="1"/>
    <col min="4" max="4" width="14" customWidth="1"/>
  </cols>
  <sheetData>
    <row r="2" spans="2:4" ht="16.8" x14ac:dyDescent="0.3">
      <c r="B2" s="1" t="s">
        <v>8</v>
      </c>
      <c r="C2" s="1"/>
      <c r="D2" s="1"/>
    </row>
    <row r="4" spans="2:4" ht="19.5" customHeight="1" x14ac:dyDescent="0.3">
      <c r="B4" s="4" t="s">
        <v>9</v>
      </c>
      <c r="C4" s="4" t="s">
        <v>10</v>
      </c>
      <c r="D4" s="4" t="s">
        <v>11</v>
      </c>
    </row>
    <row r="5" spans="2:4" x14ac:dyDescent="0.3">
      <c r="B5" s="5" t="s">
        <v>2</v>
      </c>
      <c r="C5" s="6">
        <v>332611.76</v>
      </c>
      <c r="D5" s="7">
        <f>C5/C11</f>
        <v>0.177180345875662</v>
      </c>
    </row>
    <row r="6" spans="2:4" x14ac:dyDescent="0.3">
      <c r="B6" s="8" t="s">
        <v>12</v>
      </c>
      <c r="C6" s="9">
        <v>330505.46999999997</v>
      </c>
      <c r="D6" s="10">
        <f>C6/C11</f>
        <v>0.1760583374694816</v>
      </c>
    </row>
    <row r="7" spans="2:4" x14ac:dyDescent="0.3">
      <c r="B7" s="5" t="s">
        <v>4</v>
      </c>
      <c r="C7" s="6">
        <v>321998.55</v>
      </c>
      <c r="D7" s="7">
        <f>C7/C11</f>
        <v>0.17152675076931026</v>
      </c>
    </row>
    <row r="8" spans="2:4" x14ac:dyDescent="0.3">
      <c r="B8" s="8" t="s">
        <v>5</v>
      </c>
      <c r="C8" s="9">
        <v>303761.90999999997</v>
      </c>
      <c r="D8" s="10">
        <f>C8/C11</f>
        <v>0.16181219893623636</v>
      </c>
    </row>
    <row r="9" spans="2:4" x14ac:dyDescent="0.3">
      <c r="B9" s="5" t="s">
        <v>6</v>
      </c>
      <c r="C9" s="6">
        <v>300919.98</v>
      </c>
      <c r="D9" s="7">
        <f>C9/C11</f>
        <v>0.16029831938984143</v>
      </c>
    </row>
    <row r="10" spans="2:4" x14ac:dyDescent="0.3">
      <c r="B10" s="8" t="s">
        <v>7</v>
      </c>
      <c r="C10" s="9">
        <v>287452.08</v>
      </c>
      <c r="D10" s="10">
        <f>C10/C11</f>
        <v>0.15312404755946832</v>
      </c>
    </row>
    <row r="11" spans="2:4" x14ac:dyDescent="0.3">
      <c r="B11" s="11" t="s">
        <v>13</v>
      </c>
      <c r="C11" s="12">
        <f>SUM(C5:C10)</f>
        <v>1877249.75</v>
      </c>
      <c r="D11" s="13">
        <v>1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PivotTable &amp;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vesna cari</dc:creator>
  <dc:description/>
  <cp:lastModifiedBy>vesna cari</cp:lastModifiedBy>
  <cp:revision>1</cp:revision>
  <dcterms:created xsi:type="dcterms:W3CDTF">2026-04-30T05:40:45Z</dcterms:created>
  <dcterms:modified xsi:type="dcterms:W3CDTF">2026-04-30T18:38:29Z</dcterms:modified>
  <dc:language>en-US</dc:language>
</cp:coreProperties>
</file>